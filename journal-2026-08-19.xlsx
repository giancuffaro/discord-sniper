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ay (Aug 19)" sheetId="1" state="visible" r:id="rId3"/>
    <sheet name="By Tra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<sst xmlns="http://schemas.openxmlformats.org/spreadsheetml/2006/main" count="98" uniqueCount="60">
  <si>
    <t xml:space="preserve">Contract</t>
  </si>
  <si>
    <t xml:space="preserve">Caller</t>
  </si>
  <si>
    <t xml:space="preserve">Room</t>
  </si>
  <si>
    <t xml:space="preserve">Avg In</t>
  </si>
  <si>
    <t xml:space="preserve">Avg Out</t>
  </si>
  <si>
    <t xml:space="preserve">Realized P&amp;L</t>
  </si>
  <si>
    <t xml:space="preserve">Exit trigger</t>
  </si>
  <si>
    <t xml:space="preserve">AAPL 330C 09/18</t>
  </si>
  <si>
    <t xml:space="preserve">stockguy007</t>
  </si>
  <si>
    <t xml:space="preserve">ZTRADEZ opt-1</t>
  </si>
  <si>
    <t xml:space="preserve">room call</t>
  </si>
  <si>
    <t xml:space="preserve">GOOGL 342.5C 08/21</t>
  </si>
  <si>
    <t xml:space="preserve">Unraveller</t>
  </si>
  <si>
    <t xml:space="preserve">HoneyDrip daytrades</t>
  </si>
  <si>
    <t xml:space="preserve">GOOGL 345C 08/21</t>
  </si>
  <si>
    <t xml:space="preserve">bot stop</t>
  </si>
  <si>
    <t xml:space="preserve">NFLX 79C 08/21</t>
  </si>
  <si>
    <t xml:space="preserve">TradeLikeGates</t>
  </si>
  <si>
    <t xml:space="preserve">Summit alert-room</t>
  </si>
  <si>
    <t xml:space="preserve">MSFT 480C 08/21</t>
  </si>
  <si>
    <t xml:space="preserve">MRNA 110P 08/21</t>
  </si>
  <si>
    <t xml:space="preserve">Bullwinkle</t>
  </si>
  <si>
    <t xml:space="preserve">ZTRADEZ scalps</t>
  </si>
  <si>
    <t xml:space="preserve">SPY 770P 08/20</t>
  </si>
  <si>
    <t xml:space="preserve">Mike</t>
  </si>
  <si>
    <t xml:space="preserve">SOFI 18C 08/28</t>
  </si>
  <si>
    <t xml:space="preserve">King Maker Bot</t>
  </si>
  <si>
    <t xml:space="preserve">ZTRADEZ swing-3</t>
  </si>
  <si>
    <t xml:space="preserve">PFE 30C 01/15</t>
  </si>
  <si>
    <t xml:space="preserve">sloth/legooman</t>
  </si>
  <si>
    <t xml:space="preserve">Option Alerts</t>
  </si>
  <si>
    <t xml:space="preserve">you at Webull</t>
  </si>
  <si>
    <t xml:space="preserve">TSLA 360C 08/21</t>
  </si>
  <si>
    <t xml:space="preserve">ZTRADEZ top-flow</t>
  </si>
  <si>
    <t xml:space="preserve">TSLA 352.5C 08/21</t>
  </si>
  <si>
    <t xml:space="preserve">TSLA 340P 08/21</t>
  </si>
  <si>
    <t xml:space="preserve">stop stuck→you closed</t>
  </si>
  <si>
    <t xml:space="preserve">TSLA 345P 08/21</t>
  </si>
  <si>
    <t xml:space="preserve">you at Webull (missed exit)</t>
  </si>
  <si>
    <t xml:space="preserve">SPCX 143C 08/21</t>
  </si>
  <si>
    <t xml:space="preserve">TSLA 300P 9/18</t>
  </si>
  <si>
    <t xml:space="preserve">TradingTheatre</t>
  </si>
  <si>
    <t xml:space="preserve">swing close</t>
  </si>
  <si>
    <t xml:space="preserve">BAC 66C 10/2</t>
  </si>
  <si>
    <t xml:space="preserve">Shakira Trades</t>
  </si>
  <si>
    <t xml:space="preserve">UBER 74P 9/4</t>
  </si>
  <si>
    <t xml:space="preserve">The Pawn</t>
  </si>
  <si>
    <t xml:space="preserve">ZTRADEZ opt-7</t>
  </si>
  <si>
    <t xml:space="preserve">Bot total</t>
  </si>
  <si>
    <t xml:space="preserve">Day summary</t>
  </si>
  <si>
    <t xml:space="preserve">Bot realized (17 trades above):  see F19</t>
  </si>
  <si>
    <t xml:space="preserve">Your manual QQQ/SPY/TSLA scalps (multi-lot, excluded):  -$188</t>
  </si>
  <si>
    <t xml:space="preserve">Still OPEN: M 25C 9/18 (entry 0.75) · MGC future (Market Guru)</t>
  </si>
  <si>
    <t xml:space="preserve">Note: P&amp;L corrected against the Webull options record — the live log mis-scored</t>
  </si>
  <si>
    <t xml:space="preserve">several (TSLA 340P showed -$43, really -$112 after the stuck-stop; MRNA/MSFT were</t>
  </si>
  <si>
    <t xml:space="preserve">breakeven not -$60; the three swings closed red, not the green the ledger printed).</t>
  </si>
  <si>
    <t xml:space="preserve">Net P&amp;L</t>
  </si>
  <si>
    <t xml:space="preserve">Trades</t>
  </si>
  <si>
    <t xml:space="preserve">Wins</t>
  </si>
  <si>
    <t xml:space="preserve">Win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</si>
</sst>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;&quot;($&quot;#,##0\);\-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2.83</v>
      </c>
      <c r="E2" s="3" t="n">
        <v>3.1</v>
      </c>
      <c r="F2" s="4" t="n">
        <v>27</v>
      </c>
      <c r="G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3" t="n">
        <v>3.3</v>
      </c>
      <c r="E3" s="3" t="n">
        <v>4.49</v>
      </c>
      <c r="F3" s="4" t="n">
        <v>119</v>
      </c>
      <c r="G3" s="2" t="s">
        <v>10</v>
      </c>
    </row>
    <row r="4" customFormat="false" ht="15" hidden="false" customHeight="false" outlineLevel="0" collapsed="false">
      <c r="A4" s="2" t="s">
        <v>14</v>
      </c>
      <c r="B4" s="2" t="s">
        <v>12</v>
      </c>
      <c r="C4" s="2" t="s">
        <v>13</v>
      </c>
      <c r="D4" s="3" t="n">
        <v>2.52</v>
      </c>
      <c r="E4" s="3" t="n">
        <v>2.29</v>
      </c>
      <c r="F4" s="5" t="n">
        <v>-45</v>
      </c>
      <c r="G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3" t="n">
        <v>1</v>
      </c>
      <c r="E5" s="3" t="n">
        <v>1.49</v>
      </c>
      <c r="F5" s="4" t="n">
        <v>49</v>
      </c>
      <c r="G5" s="2" t="s">
        <v>15</v>
      </c>
    </row>
    <row r="6" customFormat="false" ht="15" hidden="false" customHeight="false" outlineLevel="0" collapsed="false">
      <c r="A6" s="2" t="s">
        <v>19</v>
      </c>
      <c r="B6" s="2" t="s">
        <v>12</v>
      </c>
      <c r="C6" s="2" t="s">
        <v>13</v>
      </c>
      <c r="D6" s="3" t="n">
        <v>5.2</v>
      </c>
      <c r="E6" s="3" t="n">
        <v>5.2</v>
      </c>
      <c r="F6" s="6" t="n">
        <v>0</v>
      </c>
      <c r="G6" s="2" t="s">
        <v>15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3" t="n">
        <v>5.6</v>
      </c>
      <c r="E7" s="3" t="n">
        <v>5.6</v>
      </c>
      <c r="F7" s="6" t="n">
        <v>0</v>
      </c>
      <c r="G7" s="2" t="s">
        <v>15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13</v>
      </c>
      <c r="D8" s="3" t="n">
        <v>2.02</v>
      </c>
      <c r="E8" s="3" t="n">
        <v>2.26</v>
      </c>
      <c r="F8" s="4" t="n">
        <v>24</v>
      </c>
      <c r="G8" s="2" t="s">
        <v>10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27</v>
      </c>
      <c r="D9" s="3" t="n">
        <v>0.59</v>
      </c>
      <c r="E9" s="3" t="n">
        <v>0.56</v>
      </c>
      <c r="F9" s="5" t="n">
        <v>-3</v>
      </c>
      <c r="G9" s="2" t="s">
        <v>15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30</v>
      </c>
      <c r="D10" s="3" t="n">
        <v>1.1</v>
      </c>
      <c r="E10" s="3" t="n">
        <v>1</v>
      </c>
      <c r="F10" s="5" t="n">
        <v>-10</v>
      </c>
      <c r="G10" s="2" t="s">
        <v>31</v>
      </c>
    </row>
    <row r="11" customFormat="false" ht="15" hidden="false" customHeight="false" outlineLevel="0" collapsed="false">
      <c r="A11" s="2" t="s">
        <v>32</v>
      </c>
      <c r="B11" s="2" t="s">
        <v>21</v>
      </c>
      <c r="C11" s="2" t="s">
        <v>33</v>
      </c>
      <c r="D11" s="3" t="n">
        <v>0.48</v>
      </c>
      <c r="E11" s="3" t="n">
        <v>0.55</v>
      </c>
      <c r="F11" s="4" t="n">
        <v>7</v>
      </c>
      <c r="G11" s="2" t="s">
        <v>10</v>
      </c>
    </row>
    <row r="12" customFormat="false" ht="15" hidden="false" customHeight="false" outlineLevel="0" collapsed="false">
      <c r="A12" s="2" t="s">
        <v>34</v>
      </c>
      <c r="B12" s="2" t="s">
        <v>21</v>
      </c>
      <c r="C12" s="2" t="s">
        <v>22</v>
      </c>
      <c r="D12" s="3" t="n">
        <v>2.94</v>
      </c>
      <c r="E12" s="3" t="n">
        <v>2.93</v>
      </c>
      <c r="F12" s="5" t="n">
        <v>-1</v>
      </c>
      <c r="G12" s="2" t="s">
        <v>31</v>
      </c>
    </row>
    <row r="13" customFormat="false" ht="15" hidden="false" customHeight="false" outlineLevel="0" collapsed="false">
      <c r="A13" s="2" t="s">
        <v>35</v>
      </c>
      <c r="B13" s="2" t="s">
        <v>12</v>
      </c>
      <c r="C13" s="2" t="s">
        <v>13</v>
      </c>
      <c r="D13" s="3" t="n">
        <v>3.98</v>
      </c>
      <c r="E13" s="3" t="n">
        <v>2.86</v>
      </c>
      <c r="F13" s="5" t="n">
        <v>-112</v>
      </c>
      <c r="G13" s="2" t="s">
        <v>36</v>
      </c>
    </row>
    <row r="14" customFormat="false" ht="15" hidden="false" customHeight="false" outlineLevel="0" collapsed="false">
      <c r="A14" s="2" t="s">
        <v>37</v>
      </c>
      <c r="B14" s="2" t="s">
        <v>12</v>
      </c>
      <c r="C14" s="2" t="s">
        <v>13</v>
      </c>
      <c r="D14" s="3" t="n">
        <v>4.1</v>
      </c>
      <c r="E14" s="3" t="n">
        <v>4.05</v>
      </c>
      <c r="F14" s="5" t="n">
        <v>-5</v>
      </c>
      <c r="G14" s="2" t="s">
        <v>38</v>
      </c>
    </row>
    <row r="15" customFormat="false" ht="15" hidden="false" customHeight="false" outlineLevel="0" collapsed="false">
      <c r="A15" s="2" t="s">
        <v>39</v>
      </c>
      <c r="B15" s="2" t="s">
        <v>21</v>
      </c>
      <c r="C15" s="2" t="s">
        <v>22</v>
      </c>
      <c r="D15" s="3" t="n">
        <v>2.15</v>
      </c>
      <c r="E15" s="3" t="n">
        <v>1.71</v>
      </c>
      <c r="F15" s="5" t="n">
        <v>-44</v>
      </c>
      <c r="G15" s="2" t="s">
        <v>15</v>
      </c>
    </row>
    <row r="16" customFormat="false" ht="15" hidden="false" customHeight="false" outlineLevel="0" collapsed="false">
      <c r="A16" s="2" t="s">
        <v>40</v>
      </c>
      <c r="B16" s="2" t="s">
        <v>41</v>
      </c>
      <c r="C16" s="2" t="s">
        <v>30</v>
      </c>
      <c r="D16" s="3" t="n">
        <v>3.21</v>
      </c>
      <c r="E16" s="3" t="n">
        <v>2.99</v>
      </c>
      <c r="F16" s="5" t="n">
        <v>-22</v>
      </c>
      <c r="G16" s="2" t="s">
        <v>42</v>
      </c>
    </row>
    <row r="17" customFormat="false" ht="15" hidden="false" customHeight="false" outlineLevel="0" collapsed="false">
      <c r="A17" s="2" t="s">
        <v>43</v>
      </c>
      <c r="B17" s="2" t="s">
        <v>44</v>
      </c>
      <c r="C17" s="2" t="s">
        <v>30</v>
      </c>
      <c r="D17" s="3" t="n">
        <v>1.06</v>
      </c>
      <c r="E17" s="3" t="n">
        <v>0.85</v>
      </c>
      <c r="F17" s="5" t="n">
        <v>-21</v>
      </c>
      <c r="G17" s="2" t="s">
        <v>42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2" t="s">
        <v>47</v>
      </c>
      <c r="D18" s="3" t="n">
        <v>1.75</v>
      </c>
      <c r="E18" s="3" t="n">
        <v>1.5</v>
      </c>
      <c r="F18" s="5" t="n">
        <v>-25</v>
      </c>
      <c r="G18" s="2" t="s">
        <v>42</v>
      </c>
    </row>
    <row r="19" customFormat="false" ht="15" hidden="false" customHeight="false" outlineLevel="0" collapsed="false">
      <c r="A19" s="7"/>
      <c r="B19" s="7"/>
      <c r="C19" s="7"/>
      <c r="D19" s="7"/>
      <c r="E19" s="8" t="s">
        <v>48</v>
      </c>
      <c r="F19" s="9" t="n">
        <f aca="false">SUM(F2:F18)</f>
        <v>-62</v>
      </c>
      <c r="G19" s="7"/>
    </row>
    <row r="21" customFormat="false" ht="15" hidden="false" customHeight="false" outlineLevel="0" collapsed="false">
      <c r="A21" s="10" t="s">
        <v>49</v>
      </c>
    </row>
    <row r="22" customFormat="false" ht="15" hidden="false" customHeight="false" outlineLevel="0" collapsed="false">
      <c r="A22" s="11" t="s">
        <v>50</v>
      </c>
    </row>
    <row r="23" customFormat="false" ht="15" hidden="false" customHeight="false" outlineLevel="0" collapsed="false">
      <c r="A23" s="12" t="s">
        <v>51</v>
      </c>
    </row>
    <row r="24" customFormat="false" ht="15" hidden="false" customHeight="false" outlineLevel="0" collapsed="false">
      <c r="A24" s="11" t="s">
        <v>52</v>
      </c>
    </row>
    <row r="25" customFormat="false" ht="15" hidden="false" customHeight="false" outlineLevel="0" collapsed="false">
      <c r="A25" s="11"/>
    </row>
    <row r="26" customFormat="false" ht="15" hidden="false" customHeight="false" outlineLevel="0" collapsed="false">
      <c r="A26" s="13" t="s">
        <v>53</v>
      </c>
    </row>
    <row r="27" customFormat="false" ht="15" hidden="false" customHeight="false" outlineLevel="0" collapsed="false">
      <c r="A27" s="13" t="s">
        <v>54</v>
      </c>
    </row>
    <row r="28" customFormat="false" ht="15" hidden="false" customHeight="false" outlineLevel="0" collapsed="false">
      <c r="A28" s="1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8"/>
  </cols>
  <sheetData>
    <row r="1" customFormat="false" ht="15" hidden="false" customHeight="false" outlineLevel="0" collapsed="false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</row>
    <row r="2" customFormat="false" ht="15" hidden="false" customHeight="false" outlineLevel="0" collapsed="false">
      <c r="A2" s="2" t="s">
        <v>17</v>
      </c>
      <c r="B2" s="4" t="n">
        <v>49</v>
      </c>
      <c r="C2" s="2" t="n">
        <v>1</v>
      </c>
      <c r="D2" s="2" t="n">
        <v>1</v>
      </c>
      <c r="E2" s="14" t="n">
        <f aca="false">D2/C2</f>
        <v>1</v>
      </c>
    </row>
    <row r="3" customFormat="false" ht="15" hidden="false" customHeight="false" outlineLevel="0" collapsed="false">
      <c r="A3" s="2" t="s">
        <v>8</v>
      </c>
      <c r="B3" s="4" t="n">
        <v>27</v>
      </c>
      <c r="C3" s="2" t="n">
        <v>1</v>
      </c>
      <c r="D3" s="2" t="n">
        <v>1</v>
      </c>
      <c r="E3" s="14" t="n">
        <f aca="false">D3/C3</f>
        <v>1</v>
      </c>
    </row>
    <row r="4" customFormat="false" ht="15" hidden="false" customHeight="false" outlineLevel="0" collapsed="false">
      <c r="A4" s="2" t="s">
        <v>24</v>
      </c>
      <c r="B4" s="4" t="n">
        <v>24</v>
      </c>
      <c r="C4" s="2" t="n">
        <v>1</v>
      </c>
      <c r="D4" s="2" t="n">
        <v>1</v>
      </c>
      <c r="E4" s="14" t="n">
        <f aca="false">D4/C4</f>
        <v>1</v>
      </c>
    </row>
    <row r="5" customFormat="false" ht="15" hidden="false" customHeight="false" outlineLevel="0" collapsed="false">
      <c r="A5" s="2" t="s">
        <v>26</v>
      </c>
      <c r="B5" s="5" t="n">
        <v>-3</v>
      </c>
      <c r="C5" s="2" t="n">
        <v>1</v>
      </c>
      <c r="D5" s="2" t="n">
        <v>0</v>
      </c>
      <c r="E5" s="14" t="n">
        <f aca="false">D5/C5</f>
        <v>0</v>
      </c>
    </row>
    <row r="6" customFormat="false" ht="15" hidden="false" customHeight="false" outlineLevel="0" collapsed="false">
      <c r="A6" s="2" t="s">
        <v>29</v>
      </c>
      <c r="B6" s="5" t="n">
        <v>-10</v>
      </c>
      <c r="C6" s="2" t="n">
        <v>1</v>
      </c>
      <c r="D6" s="2" t="n">
        <v>0</v>
      </c>
      <c r="E6" s="14" t="n">
        <f aca="false">D6/C6</f>
        <v>0</v>
      </c>
    </row>
    <row r="7" customFormat="false" ht="15" hidden="false" customHeight="false" outlineLevel="0" collapsed="false">
      <c r="A7" s="2" t="s">
        <v>44</v>
      </c>
      <c r="B7" s="5" t="n">
        <v>-21</v>
      </c>
      <c r="C7" s="2" t="n">
        <v>1</v>
      </c>
      <c r="D7" s="2" t="n">
        <v>0</v>
      </c>
      <c r="E7" s="14" t="n">
        <f aca="false">D7/C7</f>
        <v>0</v>
      </c>
    </row>
    <row r="8" customFormat="false" ht="15" hidden="false" customHeight="false" outlineLevel="0" collapsed="false">
      <c r="A8" s="2" t="s">
        <v>41</v>
      </c>
      <c r="B8" s="5" t="n">
        <v>-22</v>
      </c>
      <c r="C8" s="2" t="n">
        <v>1</v>
      </c>
      <c r="D8" s="2" t="n">
        <v>0</v>
      </c>
      <c r="E8" s="14" t="n">
        <f aca="false">D8/C8</f>
        <v>0</v>
      </c>
    </row>
    <row r="9" customFormat="false" ht="15" hidden="false" customHeight="false" outlineLevel="0" collapsed="false">
      <c r="A9" s="2" t="s">
        <v>46</v>
      </c>
      <c r="B9" s="5" t="n">
        <v>-25</v>
      </c>
      <c r="C9" s="2" t="n">
        <v>1</v>
      </c>
      <c r="D9" s="2" t="n">
        <v>0</v>
      </c>
      <c r="E9" s="14" t="n">
        <f aca="false">D9/C9</f>
        <v>0</v>
      </c>
    </row>
    <row r="10" customFormat="false" ht="15" hidden="false" customHeight="false" outlineLevel="0" collapsed="false">
      <c r="A10" s="2" t="s">
        <v>21</v>
      </c>
      <c r="B10" s="5" t="n">
        <v>-38</v>
      </c>
      <c r="C10" s="2" t="n">
        <v>4</v>
      </c>
      <c r="D10" s="2" t="n">
        <v>1</v>
      </c>
      <c r="E10" s="14" t="n">
        <f aca="false">D10/C10</f>
        <v>0.25</v>
      </c>
    </row>
    <row r="11" customFormat="false" ht="15" hidden="false" customHeight="false" outlineLevel="0" collapsed="false">
      <c r="A11" s="2" t="s">
        <v>12</v>
      </c>
      <c r="B11" s="5" t="n">
        <v>-43</v>
      </c>
      <c r="C11" s="2" t="n">
        <v>5</v>
      </c>
      <c r="D11" s="2" t="n">
        <v>1</v>
      </c>
      <c r="E11" s="14" t="n">
        <f aca="false">D11/C11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2026-08-19T16:02:55Z</dcterms:created>
  <dc:creator>openpyxl</dc:creator>
  <dc:description/>
  <dc:language>en-US</dc:language>
  <cp:lastModifiedBy/>
  <dcterms:modified xsi:type="dcterms:W3CDTF">2026-08-19T16:02:55Z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