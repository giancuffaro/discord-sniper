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oday (Aug 20)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;&quot;($&quot;#,##0\);\-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008000"/>
      <sz val="10"/>
    </font>
    <font>
      <name val="Arial"/>
      <charset val="1"/>
      <family val="0"/>
      <color rgb="FFC00000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666666"/>
      <sz val="10"/>
    </font>
  </fonts>
  <fills count="4">
    <fill>
      <patternFill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4" fontId="11" fillId="3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4" fontId="11" fillId="3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5" min="1" max="1"/>
    <col width="18" customWidth="1" style="15" min="2" max="2"/>
    <col width="13" customWidth="1" style="15" min="3" max="4"/>
    <col width="12" customWidth="1" style="15" min="5" max="5"/>
    <col width="14" customWidth="1" style="15" min="6" max="6"/>
    <col width="16" customWidth="1" style="15" min="7" max="7"/>
    <col width="52" customWidth="1" style="15" min="8" max="8"/>
  </cols>
  <sheetData>
    <row r="1" ht="26.85" customHeight="1" s="16">
      <c r="A1" s="17" t="inlineStr">
        <is>
          <t>Contract</t>
        </is>
      </c>
      <c r="B1" s="17" t="inlineStr">
        <is>
          <t>Caller</t>
        </is>
      </c>
      <c r="C1" s="17" t="inlineStr">
        <is>
          <t>Bot recorded</t>
        </is>
      </c>
      <c r="D1" s="17" t="inlineStr">
        <is>
          <t>Broker actual</t>
        </is>
      </c>
      <c r="E1" s="17" t="inlineStr">
        <is>
          <t>Max run-up %</t>
        </is>
      </c>
      <c r="F1" s="17" t="inlineStr">
        <is>
          <t>Max drawdown %</t>
        </is>
      </c>
      <c r="G1" s="17" t="inlineStr">
        <is>
          <t>Exit trigger</t>
        </is>
      </c>
      <c r="H1" s="17" t="inlineStr">
        <is>
          <t>Note</t>
        </is>
      </c>
    </row>
    <row r="2" ht="15" customHeight="1" s="16">
      <c r="A2" s="18" t="inlineStr">
        <is>
          <t>INTC 90P 8/21</t>
        </is>
      </c>
      <c r="B2" s="18" t="inlineStr">
        <is>
          <t>The Pawn</t>
        </is>
      </c>
      <c r="C2" s="19" t="n">
        <v>22</v>
      </c>
      <c r="D2" s="20" t="n">
        <v>27</v>
      </c>
      <c r="E2" s="18" t="inlineStr">
        <is>
          <t>+24.1%</t>
        </is>
      </c>
      <c r="F2" s="18" t="inlineStr">
        <is>
          <t>+6.0%</t>
        </is>
      </c>
      <c r="G2" s="18" t="inlineStr">
        <is>
          <t>room call</t>
        </is>
      </c>
      <c r="H2" s="18" t="n"/>
    </row>
    <row r="3" ht="15" customHeight="1" s="16">
      <c r="A3" s="18" t="inlineStr">
        <is>
          <t>IBIT 40C 8/21</t>
        </is>
      </c>
      <c r="B3" s="18" t="inlineStr">
        <is>
          <t>Namrood-BOT</t>
        </is>
      </c>
      <c r="C3" s="19" t="n">
        <v>7</v>
      </c>
      <c r="D3" s="20" t="n">
        <v>9</v>
      </c>
      <c r="E3" s="18" t="inlineStr">
        <is>
          <t>+21.1%</t>
        </is>
      </c>
      <c r="F3" s="18" t="inlineStr">
        <is>
          <t>-1.4%</t>
        </is>
      </c>
      <c r="G3" s="18" t="inlineStr">
        <is>
          <t>bot stop</t>
        </is>
      </c>
      <c r="H3" s="18" t="inlineStr">
        <is>
          <t>ratchet locked it green</t>
        </is>
      </c>
    </row>
    <row r="4" ht="15" customHeight="1" s="16">
      <c r="A4" s="18" t="inlineStr">
        <is>
          <t>NFLX 80C 8/21</t>
        </is>
      </c>
      <c r="B4" s="18" t="inlineStr">
        <is>
          <t>TradeLikeGates</t>
        </is>
      </c>
      <c r="C4" s="21" t="n">
        <v>-30</v>
      </c>
      <c r="D4" s="22" t="n">
        <v>-29</v>
      </c>
      <c r="E4" s="18" t="inlineStr">
        <is>
          <t>+10.0%</t>
        </is>
      </c>
      <c r="F4" s="18" t="inlineStr">
        <is>
          <t>-23.1%</t>
        </is>
      </c>
      <c r="G4" s="18" t="inlineStr">
        <is>
          <t>bot stop</t>
        </is>
      </c>
      <c r="H4" s="18" t="n"/>
    </row>
    <row r="5" ht="15" customHeight="1" s="16">
      <c r="A5" s="18" t="inlineStr">
        <is>
          <t>M 25C 9/18 (swing)</t>
        </is>
      </c>
      <c r="B5" s="18" t="inlineStr">
        <is>
          <t>King Maker Bot</t>
        </is>
      </c>
      <c r="C5" s="19" t="n">
        <v>72</v>
      </c>
      <c r="D5" s="22" t="n">
        <v>-11</v>
      </c>
      <c r="E5" s="18" t="n"/>
      <c r="F5" s="18" t="n"/>
      <c r="G5" s="18" t="inlineStr">
        <is>
          <t>you at Webull</t>
        </is>
      </c>
      <c r="H5" s="18" t="inlineStr">
        <is>
          <t>book credited +72; broker shows sold 0.64 vs 0.75 in = -11</t>
        </is>
      </c>
    </row>
    <row r="6" ht="15" customHeight="1" s="16">
      <c r="A6" s="18" t="inlineStr">
        <is>
          <t>QQQ 711P 8/20</t>
        </is>
      </c>
      <c r="B6" s="18" t="inlineStr">
        <is>
          <t>Gian</t>
        </is>
      </c>
      <c r="C6" s="21" t="n">
        <v>-157</v>
      </c>
      <c r="D6" s="22" t="n">
        <v>-19</v>
      </c>
      <c r="E6" s="18" t="n"/>
      <c r="F6" s="18" t="n"/>
      <c r="G6" s="18" t="inlineStr">
        <is>
          <t>room call</t>
        </is>
      </c>
      <c r="H6" s="18" t="inlineStr">
        <is>
          <t>cost-ledger echo on an adopted lot; real loss $19</t>
        </is>
      </c>
    </row>
    <row r="7" ht="15" customHeight="1" s="16">
      <c r="A7" s="18" t="inlineStr">
        <is>
          <t>SPY 764C 8/20</t>
        </is>
      </c>
      <c r="B7" s="18" t="inlineStr">
        <is>
          <t>Gian</t>
        </is>
      </c>
      <c r="C7" s="21" t="n">
        <v>-71</v>
      </c>
      <c r="D7" s="22" t="n">
        <v>-22</v>
      </c>
      <c r="E7" s="18" t="inlineStr">
        <is>
          <t>-25.7%</t>
        </is>
      </c>
      <c r="F7" s="18" t="inlineStr">
        <is>
          <t>-25.7%</t>
        </is>
      </c>
      <c r="G7" s="18" t="inlineStr">
        <is>
          <t>bot stop</t>
        </is>
      </c>
      <c r="H7" s="18" t="inlineStr">
        <is>
          <t>overlaps your own 764C lot; broker net across both -4</t>
        </is>
      </c>
    </row>
    <row r="8" ht="15" customHeight="1" s="16">
      <c r="A8" s="18" t="inlineStr">
        <is>
          <t>MP 60C 8/28 (swing)</t>
        </is>
      </c>
      <c r="B8" s="18" t="inlineStr">
        <is>
          <t>EvaPanda Alerts</t>
        </is>
      </c>
      <c r="C8" s="21" t="n">
        <v>-46</v>
      </c>
      <c r="D8" s="22" t="n">
        <v>-96</v>
      </c>
      <c r="E8" s="18" t="inlineStr">
        <is>
          <t>+3.7%</t>
        </is>
      </c>
      <c r="F8" s="18" t="inlineStr">
        <is>
          <t>-34.3%</t>
        </is>
      </c>
      <c r="G8" s="18" t="inlineStr">
        <is>
          <t>gap + hand close</t>
        </is>
      </c>
      <c r="H8" s="18" t="inlineStr">
        <is>
          <t>the 0.88 stop sale NEVER FILLED - real exit was your 0.38 close; gap through stop overnight</t>
        </is>
      </c>
    </row>
    <row r="9" ht="15" customHeight="1" s="16">
      <c r="A9" s="23" t="n"/>
      <c r="B9" s="24" t="inlineStr">
        <is>
          <t>Bot total</t>
        </is>
      </c>
      <c r="C9" s="25">
        <f>SUM(C2:C8)</f>
        <v/>
      </c>
      <c r="D9" s="26">
        <f>SUM(D2:D8)</f>
        <v/>
      </c>
      <c r="E9" s="23" t="n"/>
      <c r="F9" s="23" t="n"/>
      <c r="G9" s="23" t="n"/>
      <c r="H9" s="23" t="n"/>
    </row>
    <row r="10"/>
    <row r="11" ht="15" customHeight="1" s="16">
      <c r="A11" s="27" t="inlineStr">
        <is>
          <t>Day summary</t>
        </is>
      </c>
    </row>
    <row r="12" ht="15" customHeight="1" s="16">
      <c r="A12" s="28" t="inlineStr">
        <is>
          <t>Bot trades (corrected vs broker record): see totals above</t>
        </is>
      </c>
    </row>
    <row r="13" ht="15" customHeight="1" s="16">
      <c r="A13" s="29" t="inlineStr">
        <is>
          <t>Your own QQQ/SPY 0DTE scalps (rest of the 46 fills): about -$107 net</t>
        </is>
      </c>
    </row>
    <row r="14" ht="15" customHeight="1" s="16">
      <c r="A14" s="29" t="inlineStr">
        <is>
          <t>Whole account realized today (everything matched to the broker CSV): -$148</t>
        </is>
      </c>
    </row>
    <row r="15" ht="15" customHeight="1" s="16">
      <c r="A15" s="28" t="n"/>
    </row>
    <row r="16" ht="15" customHeight="1" s="16">
      <c r="A16" s="30" t="inlineStr">
        <is>
          <t>THE BIG CORRECTION - MP: the bot recorded a 0.88 stop-out (-$46) at 9:30, but that</t>
        </is>
      </c>
    </row>
    <row r="17" ht="15" customHeight="1" s="16">
      <c r="A17" s="30" t="inlineStr">
        <is>
          <t>sell never filled at Webull. The 9:32 're-adopt' was the REAL position still alive.</t>
        </is>
      </c>
    </row>
    <row r="18" ht="15" customHeight="1" s="16">
      <c r="A18" s="30" t="inlineStr">
        <is>
          <t>You closed it by hand at 0.38 -&gt; true loss -$96. Same failed-sell family as TSLA 8/19.</t>
        </is>
      </c>
    </row>
    <row r="19" ht="15" customHeight="1" s="16">
      <c r="A19" s="28" t="n"/>
    </row>
    <row r="20" ht="15" customHeight="1" s="16">
      <c r="A20" s="28" t="inlineStr">
        <is>
          <t>New columns are live: max run-up / max drawdown now record on every bot trade.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2026-08-21T03:55:03Z</dcterms:created>
  <dcterms:modified xmlns:dcterms="http://purl.org/dc/terms/" xmlns:xsi="http://www.w3.org/2001/XMLSchema-instance" xsi:type="dcterms:W3CDTF">2026-08-21T04:04:04Z</dcterms:modified>
  <cp:revision>0</cp:revision>
</cp:coreProperties>
</file>